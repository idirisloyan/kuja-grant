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Amani Community Development - Project Budget Detail</t>
        </is>
      </c>
    </row>
    <row r="2">
      <c r="A2" s="2" t="inlineStr">
        <is>
          <t>Community Health Workers Scale-Up Program | Grant Period: Jan 2025 - Dec 2026</t>
        </is>
      </c>
    </row>
    <row r="4">
      <c r="A4" s="3" t="inlineStr">
        <is>
          <t>Category</t>
        </is>
      </c>
      <c r="B4" s="3" t="inlineStr">
        <is>
          <t>Line Item</t>
        </is>
      </c>
      <c r="C4" s="3" t="inlineStr">
        <is>
          <t>Budget (USD)</t>
        </is>
      </c>
      <c r="D4" s="3" t="inlineStr">
        <is>
          <t>Actual (USD)</t>
        </is>
      </c>
      <c r="E4" s="3" t="inlineStr">
        <is>
          <t>Variance (USD)</t>
        </is>
      </c>
      <c r="F4" s="3" t="inlineStr">
        <is>
          <t>Utilization %</t>
        </is>
      </c>
    </row>
    <row r="5">
      <c r="A5" s="4" t="inlineStr">
        <is>
          <t>Personnel</t>
        </is>
      </c>
      <c r="B5" s="4" t="inlineStr">
        <is>
          <t>Program Manager (1)</t>
        </is>
      </c>
      <c r="C5" s="5" t="n">
        <v>48000</v>
      </c>
      <c r="D5" s="5" t="n">
        <v>48000</v>
      </c>
      <c r="E5" s="5" t="n">
        <v>0</v>
      </c>
      <c r="F5" s="6" t="n">
        <v>1</v>
      </c>
    </row>
    <row r="6">
      <c r="A6" s="4" t="inlineStr">
        <is>
          <t>Personnel</t>
        </is>
      </c>
      <c r="B6" s="4" t="inlineStr">
        <is>
          <t>Program Officers (4)</t>
        </is>
      </c>
      <c r="C6" s="5" t="n">
        <v>96000</v>
      </c>
      <c r="D6" s="5" t="n">
        <v>94500</v>
      </c>
      <c r="E6" s="5" t="n">
        <v>1500</v>
      </c>
      <c r="F6" s="6" t="n">
        <v>0.984375</v>
      </c>
    </row>
    <row r="7">
      <c r="A7" s="4" t="inlineStr">
        <is>
          <t>Personnel</t>
        </is>
      </c>
      <c r="B7" s="4" t="inlineStr">
        <is>
          <t>CHW Supervisors (6)</t>
        </is>
      </c>
      <c r="C7" s="5" t="n">
        <v>54000</v>
      </c>
      <c r="D7" s="5" t="n">
        <v>52800</v>
      </c>
      <c r="E7" s="5" t="n">
        <v>1200</v>
      </c>
      <c r="F7" s="6" t="n">
        <v>0.9777777777777777</v>
      </c>
    </row>
    <row r="8">
      <c r="A8" s="4" t="inlineStr">
        <is>
          <t>Personnel</t>
        </is>
      </c>
      <c r="B8" s="4" t="inlineStr">
        <is>
          <t>M&amp;E Officer (1)</t>
        </is>
      </c>
      <c r="C8" s="5" t="n">
        <v>24000</v>
      </c>
      <c r="D8" s="5" t="n">
        <v>24000</v>
      </c>
      <c r="E8" s="5" t="n">
        <v>0</v>
      </c>
      <c r="F8" s="6" t="n">
        <v>1</v>
      </c>
    </row>
    <row r="9">
      <c r="A9" s="4" t="inlineStr">
        <is>
          <t>Personnel</t>
        </is>
      </c>
      <c r="B9" s="4" t="inlineStr">
        <is>
          <t>Finance Officer (1)</t>
        </is>
      </c>
      <c r="C9" s="5" t="n">
        <v>22000</v>
      </c>
      <c r="D9" s="5" t="n">
        <v>22000</v>
      </c>
      <c r="E9" s="5" t="n">
        <v>0</v>
      </c>
      <c r="F9" s="6" t="n">
        <v>1</v>
      </c>
    </row>
    <row r="10">
      <c r="A10" s="4" t="inlineStr">
        <is>
          <t>Travel</t>
        </is>
      </c>
      <c r="B10" s="4" t="inlineStr">
        <is>
          <t>Field travel - vehicles</t>
        </is>
      </c>
      <c r="C10" s="5" t="n">
        <v>36000</v>
      </c>
      <c r="D10" s="5" t="n">
        <v>33500</v>
      </c>
      <c r="E10" s="5" t="n">
        <v>2500</v>
      </c>
      <c r="F10" s="6" t="n">
        <v>0.9305555555555556</v>
      </c>
    </row>
    <row r="11">
      <c r="A11" s="4" t="inlineStr">
        <is>
          <t>Travel</t>
        </is>
      </c>
      <c r="B11" s="4" t="inlineStr">
        <is>
          <t>Per diem - field staff</t>
        </is>
      </c>
      <c r="C11" s="5" t="n">
        <v>18000</v>
      </c>
      <c r="D11" s="5" t="n">
        <v>17200</v>
      </c>
      <c r="E11" s="5" t="n">
        <v>800</v>
      </c>
      <c r="F11" s="6" t="n">
        <v>0.9555555555555556</v>
      </c>
    </row>
    <row r="12">
      <c r="A12" s="4" t="inlineStr">
        <is>
          <t>Travel</t>
        </is>
      </c>
      <c r="B12" s="4" t="inlineStr">
        <is>
          <t>International travel</t>
        </is>
      </c>
      <c r="C12" s="5" t="n">
        <v>8000</v>
      </c>
      <c r="D12" s="5" t="n">
        <v>4500</v>
      </c>
      <c r="E12" s="5" t="n">
        <v>3500</v>
      </c>
      <c r="F12" s="6" t="n">
        <v>0.5625</v>
      </c>
    </row>
    <row r="13">
      <c r="A13" s="4" t="inlineStr">
        <is>
          <t>Equipment</t>
        </is>
      </c>
      <c r="B13" s="4" t="inlineStr">
        <is>
          <t>Medical kits (120)</t>
        </is>
      </c>
      <c r="C13" s="5" t="n">
        <v>60000</v>
      </c>
      <c r="D13" s="5" t="n">
        <v>58000</v>
      </c>
      <c r="E13" s="5" t="n">
        <v>2000</v>
      </c>
      <c r="F13" s="6" t="n">
        <v>0.9666666666666667</v>
      </c>
    </row>
    <row r="14">
      <c r="A14" s="4" t="inlineStr">
        <is>
          <t>Equipment</t>
        </is>
      </c>
      <c r="B14" s="4" t="inlineStr">
        <is>
          <t>Smartphones for CHWs</t>
        </is>
      </c>
      <c r="C14" s="5" t="n">
        <v>24000</v>
      </c>
      <c r="D14" s="5" t="n">
        <v>23400</v>
      </c>
      <c r="E14" s="5" t="n">
        <v>600</v>
      </c>
      <c r="F14" s="6" t="n">
        <v>0.975</v>
      </c>
    </row>
    <row r="15">
      <c r="A15" s="4" t="inlineStr">
        <is>
          <t>Equipment</t>
        </is>
      </c>
      <c r="B15" s="4" t="inlineStr">
        <is>
          <t>Weighing scales (50)</t>
        </is>
      </c>
      <c r="C15" s="5" t="n">
        <v>5000</v>
      </c>
      <c r="D15" s="5" t="n">
        <v>4800</v>
      </c>
      <c r="E15" s="5" t="n">
        <v>200</v>
      </c>
      <c r="F15" s="6" t="n">
        <v>0.96</v>
      </c>
    </row>
    <row r="16">
      <c r="A16" s="4" t="inlineStr">
        <is>
          <t>Supplies</t>
        </is>
      </c>
      <c r="B16" s="4" t="inlineStr">
        <is>
          <t>Training materials</t>
        </is>
      </c>
      <c r="C16" s="5" t="n">
        <v>12000</v>
      </c>
      <c r="D16" s="5" t="n">
        <v>11500</v>
      </c>
      <c r="E16" s="5" t="n">
        <v>500</v>
      </c>
      <c r="F16" s="6" t="n">
        <v>0.9583333333333334</v>
      </c>
    </row>
    <row r="17">
      <c r="A17" s="4" t="inlineStr">
        <is>
          <t>Supplies</t>
        </is>
      </c>
      <c r="B17" s="4" t="inlineStr">
        <is>
          <t>IEC materials</t>
        </is>
      </c>
      <c r="C17" s="5" t="n">
        <v>8000</v>
      </c>
      <c r="D17" s="5" t="n">
        <v>7800</v>
      </c>
      <c r="E17" s="5" t="n">
        <v>200</v>
      </c>
      <c r="F17" s="6" t="n">
        <v>0.975</v>
      </c>
    </row>
    <row r="18">
      <c r="A18" s="4" t="inlineStr">
        <is>
          <t>Supplies</t>
        </is>
      </c>
      <c r="B18" s="4" t="inlineStr">
        <is>
          <t>Office supplies</t>
        </is>
      </c>
      <c r="C18" s="5" t="n">
        <v>4000</v>
      </c>
      <c r="D18" s="5" t="n">
        <v>3800</v>
      </c>
      <c r="E18" s="5" t="n">
        <v>200</v>
      </c>
      <c r="F18" s="6" t="n">
        <v>0.95</v>
      </c>
    </row>
    <row r="19">
      <c r="A19" s="4" t="inlineStr">
        <is>
          <t>Overhead</t>
        </is>
      </c>
      <c r="B19" s="4" t="inlineStr">
        <is>
          <t>Office rent</t>
        </is>
      </c>
      <c r="C19" s="5" t="n">
        <v>18000</v>
      </c>
      <c r="D19" s="5" t="n">
        <v>18000</v>
      </c>
      <c r="E19" s="5" t="n">
        <v>0</v>
      </c>
      <c r="F19" s="6" t="n">
        <v>1</v>
      </c>
    </row>
    <row r="20">
      <c r="A20" s="4" t="inlineStr">
        <is>
          <t>Overhead</t>
        </is>
      </c>
      <c r="B20" s="4" t="inlineStr">
        <is>
          <t>Utilities</t>
        </is>
      </c>
      <c r="C20" s="5" t="n">
        <v>6000</v>
      </c>
      <c r="D20" s="5" t="n">
        <v>5800</v>
      </c>
      <c r="E20" s="5" t="n">
        <v>200</v>
      </c>
      <c r="F20" s="6" t="n">
        <v>0.9666666666666667</v>
      </c>
    </row>
    <row r="21">
      <c r="A21" s="4" t="inlineStr">
        <is>
          <t>Overhead</t>
        </is>
      </c>
      <c r="B21" s="4" t="inlineStr">
        <is>
          <t>Insurance</t>
        </is>
      </c>
      <c r="C21" s="5" t="n">
        <v>4000</v>
      </c>
      <c r="D21" s="5" t="n">
        <v>4000</v>
      </c>
      <c r="E21" s="5" t="n">
        <v>0</v>
      </c>
      <c r="F21" s="6" t="n">
        <v>1</v>
      </c>
    </row>
    <row r="22">
      <c r="A22" s="4" t="inlineStr">
        <is>
          <t>Overhead</t>
        </is>
      </c>
      <c r="B22" s="4" t="inlineStr">
        <is>
          <t>Audit fees</t>
        </is>
      </c>
      <c r="C22" s="5" t="n">
        <v>8000</v>
      </c>
      <c r="D22" s="5" t="n">
        <v>8000</v>
      </c>
      <c r="E22" s="5" t="n">
        <v>0</v>
      </c>
      <c r="F22" s="6" t="n">
        <v>1</v>
      </c>
    </row>
    <row r="23">
      <c r="A23" s="4" t="inlineStr">
        <is>
          <t>Overhead</t>
        </is>
      </c>
      <c r="B23" s="4" t="inlineStr">
        <is>
          <t>Communication</t>
        </is>
      </c>
      <c r="C23" s="5" t="n">
        <v>5000</v>
      </c>
      <c r="D23" s="5" t="n">
        <v>4600</v>
      </c>
      <c r="E23" s="5" t="n">
        <v>400</v>
      </c>
      <c r="F23" s="6" t="n">
        <v>0.92</v>
      </c>
    </row>
    <row r="24">
      <c r="A24" s="4" t="inlineStr">
        <is>
          <t>Monitoring</t>
        </is>
      </c>
      <c r="B24" s="4" t="inlineStr">
        <is>
          <t>Baseline survey</t>
        </is>
      </c>
      <c r="C24" s="5" t="n">
        <v>15000</v>
      </c>
      <c r="D24" s="5" t="n">
        <v>14500</v>
      </c>
      <c r="E24" s="5" t="n">
        <v>500</v>
      </c>
      <c r="F24" s="6" t="n">
        <v>0.9666666666666667</v>
      </c>
    </row>
    <row r="25">
      <c r="A25" s="4" t="inlineStr">
        <is>
          <t>Monitoring</t>
        </is>
      </c>
      <c r="B25" s="4" t="inlineStr">
        <is>
          <t>Mid-term evaluation</t>
        </is>
      </c>
      <c r="C25" s="5" t="n">
        <v>10000</v>
      </c>
      <c r="D25" s="5" t="n">
        <v>0</v>
      </c>
      <c r="E25" s="5" t="n">
        <v>10000</v>
      </c>
      <c r="F25" s="6" t="n">
        <v>0</v>
      </c>
    </row>
    <row r="26">
      <c r="A26" s="4" t="inlineStr">
        <is>
          <t>Monitoring</t>
        </is>
      </c>
      <c r="B26" s="4" t="inlineStr">
        <is>
          <t>Data management system</t>
        </is>
      </c>
      <c r="C26" s="5" t="n">
        <v>8000</v>
      </c>
      <c r="D26" s="5" t="n">
        <v>7500</v>
      </c>
      <c r="E26" s="5" t="n">
        <v>500</v>
      </c>
      <c r="F26" s="6" t="n">
        <v>0.9375</v>
      </c>
    </row>
    <row r="27">
      <c r="A27" s="4" t="inlineStr">
        <is>
          <t>Contingency</t>
        </is>
      </c>
      <c r="B27" s="4" t="inlineStr">
        <is>
          <t>Contingency (5%)</t>
        </is>
      </c>
      <c r="C27" s="5" t="n">
        <v>25000</v>
      </c>
      <c r="D27" s="5" t="n">
        <v>3200</v>
      </c>
      <c r="E27" s="5" t="n">
        <v>21800</v>
      </c>
      <c r="F27" s="6" t="n">
        <v>0.128</v>
      </c>
    </row>
    <row r="28">
      <c r="A28" s="7" t="inlineStr">
        <is>
          <t>TOTAL</t>
        </is>
      </c>
      <c r="B28" s="4" t="n"/>
      <c r="C28" s="8">
        <f>SUM(C5:C27)</f>
        <v/>
      </c>
      <c r="D28" s="8">
        <f>SUM(D5:D27)</f>
        <v/>
      </c>
      <c r="E28" s="8">
        <f>SUM(E5:E27)</f>
        <v/>
      </c>
      <c r="F28" s="9">
        <f>D28/C28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2026-05-24T02:13:33Z</dcterms:created>
  <dcterms:modified xmlns:dcterms="http://purl.org/dc/terms/" xmlns:xsi="http://www.w3.org/2001/XMLSchema-instance" xsi:type="dcterms:W3CDTF">2026-05-24T02:13:33Z</dcterms:modified>
</cp:coreProperties>
</file>